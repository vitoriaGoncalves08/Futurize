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0" yWindow="0" windowWidth="24000" windowHeight="9600" activeTab="1"/>
  </bookViews>
  <sheets>
    <sheet name="Gráf1" sheetId="13" r:id="rId1"/>
    <sheet name="CronogramaDeProjeto" sheetId="11" r:id="rId2"/>
    <sheet name="Sobre" sheetId="12" r:id="rId3"/>
  </sheets>
  <definedNames>
    <definedName name="hoje" localSheetId="1">TODAY()</definedName>
    <definedName name="início_da_tarefa" localSheetId="1">CronogramaDeProjeto!$E1</definedName>
    <definedName name="Início_do_projeto">CronogramaDeProjeto!$E$3</definedName>
    <definedName name="progresso_da_tarefa" localSheetId="1">CronogramaDeProjeto!$D1</definedName>
    <definedName name="Semana_de_exibição">CronogramaDeProjeto!$E$4</definedName>
    <definedName name="término_da_tarefa" localSheetId="1">CronogramaDeProjeto!$F1</definedName>
    <definedName name="_xlnm.Print_Titles" localSheetId="1">CronogramaDeProjeto!$4:$6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11" l="1"/>
  <c r="H37" i="11" l="1"/>
  <c r="H35" i="11"/>
  <c r="H33" i="11"/>
  <c r="H7" i="11"/>
  <c r="H36" i="11"/>
  <c r="H34" i="11"/>
  <c r="H30" i="11"/>
  <c r="H23" i="11"/>
  <c r="H16" i="11"/>
  <c r="H8" i="11"/>
  <c r="I5" i="11"/>
  <c r="E9" i="11"/>
  <c r="F9" i="11" s="1"/>
  <c r="E10" i="11" l="1"/>
  <c r="F10" i="11" s="1"/>
  <c r="I6" i="11"/>
  <c r="E11" i="11" l="1"/>
  <c r="H10" i="11"/>
  <c r="H9" i="11"/>
  <c r="J5" i="11"/>
  <c r="K5" i="11" s="1"/>
  <c r="L5" i="11" s="1"/>
  <c r="M5" i="11" s="1"/>
  <c r="N5" i="11" s="1"/>
  <c r="O5" i="11" s="1"/>
  <c r="P5" i="11" s="1"/>
  <c r="I4" i="11"/>
  <c r="F11" i="11" l="1"/>
  <c r="H11" i="11" s="1"/>
  <c r="E12" i="11"/>
  <c r="F12" i="11" s="1"/>
  <c r="P4" i="11"/>
  <c r="Q5" i="11"/>
  <c r="R5" i="11" s="1"/>
  <c r="S5" i="11" s="1"/>
  <c r="T5" i="11" s="1"/>
  <c r="U5" i="11" s="1"/>
  <c r="V5" i="11" s="1"/>
  <c r="W5" i="11" s="1"/>
  <c r="J6" i="11"/>
  <c r="H12" i="11" l="1"/>
  <c r="E13" i="11"/>
  <c r="W4" i="11"/>
  <c r="X5" i="11"/>
  <c r="Y5" i="11" s="1"/>
  <c r="Z5" i="11" s="1"/>
  <c r="AA5" i="11" s="1"/>
  <c r="AB5" i="11" s="1"/>
  <c r="AC5" i="11" s="1"/>
  <c r="AD5" i="11" s="1"/>
  <c r="K6" i="11"/>
  <c r="F13" i="11" l="1"/>
  <c r="H13" i="11" s="1"/>
  <c r="F14" i="11"/>
  <c r="E14" i="11"/>
  <c r="AE5" i="11"/>
  <c r="AF5" i="11" s="1"/>
  <c r="AG5" i="11" s="1"/>
  <c r="AH5" i="11" s="1"/>
  <c r="AI5" i="11" s="1"/>
  <c r="AJ5" i="11" s="1"/>
  <c r="AD4" i="11"/>
  <c r="L6" i="11"/>
  <c r="E15" i="11" l="1"/>
  <c r="F15" i="11" s="1"/>
  <c r="H14" i="11"/>
  <c r="AK5" i="11"/>
  <c r="AL5" i="11" s="1"/>
  <c r="AM5" i="11" s="1"/>
  <c r="AN5" i="11" s="1"/>
  <c r="AO5" i="11" s="1"/>
  <c r="AP5" i="11" s="1"/>
  <c r="AQ5" i="11" s="1"/>
  <c r="M6" i="11"/>
  <c r="E17" i="11" l="1"/>
  <c r="H15" i="11"/>
  <c r="AR5" i="11"/>
  <c r="AS5" i="11" s="1"/>
  <c r="AK4" i="11"/>
  <c r="N6" i="11"/>
  <c r="F17" i="11" l="1"/>
  <c r="H17" i="11" s="1"/>
  <c r="E18" i="11"/>
  <c r="AT5" i="11"/>
  <c r="AS6" i="11"/>
  <c r="AR4" i="11"/>
  <c r="O6" i="11"/>
  <c r="F18" i="11" l="1"/>
  <c r="H18" i="11" s="1"/>
  <c r="E19" i="11"/>
  <c r="AU5" i="11"/>
  <c r="AT6" i="11"/>
  <c r="F19" i="11" l="1"/>
  <c r="H19" i="11" s="1"/>
  <c r="E21" i="11"/>
  <c r="F21" i="11" s="1"/>
  <c r="E20" i="11"/>
  <c r="F20" i="11" s="1"/>
  <c r="H20" i="11" s="1"/>
  <c r="AV5" i="11"/>
  <c r="AU6" i="11"/>
  <c r="P6" i="11"/>
  <c r="Q6" i="11"/>
  <c r="H21" i="11" l="1"/>
  <c r="E22" i="11"/>
  <c r="F22" i="11" s="1"/>
  <c r="E24" i="11" s="1"/>
  <c r="AW5" i="11"/>
  <c r="AV6" i="11"/>
  <c r="R6" i="11"/>
  <c r="H22" i="11" l="1"/>
  <c r="F24" i="11"/>
  <c r="AX5" i="11"/>
  <c r="AY5" i="11" s="1"/>
  <c r="AW6" i="11"/>
  <c r="S6" i="11"/>
  <c r="H24" i="11" l="1"/>
  <c r="E25" i="11"/>
  <c r="F25" i="11" s="1"/>
  <c r="AY6" i="11"/>
  <c r="AZ5" i="11"/>
  <c r="AY4" i="11"/>
  <c r="AX6" i="11"/>
  <c r="T6" i="11"/>
  <c r="H25" i="11" l="1"/>
  <c r="E26" i="11"/>
  <c r="F26" i="11" s="1"/>
  <c r="E28" i="11"/>
  <c r="F28" i="11" s="1"/>
  <c r="BA5" i="11"/>
  <c r="AZ6" i="11"/>
  <c r="U6" i="11"/>
  <c r="H28" i="11" l="1"/>
  <c r="E29" i="11"/>
  <c r="H26" i="11"/>
  <c r="E27" i="11"/>
  <c r="F27" i="11" s="1"/>
  <c r="BA6" i="11"/>
  <c r="BB5" i="11"/>
  <c r="V6" i="11"/>
  <c r="F29" i="11" l="1"/>
  <c r="E31" i="11" s="1"/>
  <c r="F31" i="11" s="1"/>
  <c r="H27" i="11"/>
  <c r="BB6" i="11"/>
  <c r="BC5" i="11"/>
  <c r="W6" i="11"/>
  <c r="H29" i="11" l="1"/>
  <c r="E32" i="11"/>
  <c r="F32" i="11" s="1"/>
  <c r="H31" i="11"/>
  <c r="BC6" i="11"/>
  <c r="BD5" i="11"/>
  <c r="X6" i="11"/>
  <c r="H32" i="11" l="1"/>
  <c r="BE5" i="1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<sst xmlns="http://schemas.openxmlformats.org/spreadsheetml/2006/main" count="113" uniqueCount="77">
  <si>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</si>
  <si>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</si>
  <si>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</si>
  <si>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</si>
  <si>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</si>
  <si>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</si>
  <si>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</si>
  <si>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</si>
  <si>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</si>
  <si>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</si>
  <si>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</si>
  <si>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</si>
  <si>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</si>
  <si>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Nome da empresa</t>
  </si>
  <si>
    <t>Líder do projeto</t>
  </si>
  <si>
    <t>TAREFA</t>
  </si>
  <si>
    <t>Insira novas linhas ACIMA desta</t>
  </si>
  <si>
    <t>Início do projeto:</t>
  </si>
  <si>
    <t>Semana de exibição:</t>
  </si>
  <si>
    <t>ATRIBUÍDO
PARA</t>
  </si>
  <si>
    <t>PROGRESSO</t>
  </si>
  <si>
    <t>INÍCIO</t>
  </si>
  <si>
    <t>TÉRMINO</t>
  </si>
  <si>
    <t>DIAS</t>
  </si>
  <si>
    <t>GRÁFICO DE GANTT SIMPLES por Vertex42.com</t>
  </si>
  <si>
    <t>https://www.vertex42.com/ExcelTemplates/simple-gantt-chart.html</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</si>
  <si>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</si>
  <si>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</si>
  <si>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</si>
  <si>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2 planilhas nesta pasta de trabalho. 
CronogramaDeProjeto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</si>
  <si>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</si>
  <si>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</si>
  <si>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</si>
  <si>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</si>
  <si>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</si>
  <si>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</si>
  <si>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</si>
  <si>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</si>
  <si>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</si>
  <si>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Esta linha marca o final do Cronograma de projeto. NÃO insira nada nessa linha. 
Insira novas linhas ACIMA desta linha para continuar a construção do cronograma de projeto.</t>
  </si>
  <si>
    <t>Entrega 1</t>
  </si>
  <si>
    <t>Diagrama de Casos de Uso</t>
  </si>
  <si>
    <t>Documentação do Caso de Uso UC01</t>
  </si>
  <si>
    <t>Documentação do Caso de Uso UC02</t>
  </si>
  <si>
    <t>Felipe S</t>
  </si>
  <si>
    <t>Documentação do Caso de Uso UC04</t>
  </si>
  <si>
    <t>Documentação do Caso de Uso UC05</t>
  </si>
  <si>
    <t>Vitória G</t>
  </si>
  <si>
    <t>Luisa A</t>
  </si>
  <si>
    <t>Pedro C</t>
  </si>
  <si>
    <t>Fábio B</t>
  </si>
  <si>
    <t>Entrega 2</t>
  </si>
  <si>
    <t xml:space="preserve">Entregas anteriores revisadas </t>
  </si>
  <si>
    <t>Todos</t>
  </si>
  <si>
    <t>Revisar Casos de Uso</t>
  </si>
  <si>
    <t>Diagrama de Classes</t>
  </si>
  <si>
    <t>Modelo E-R</t>
  </si>
  <si>
    <t>Estimativas de Custos</t>
  </si>
  <si>
    <t>Versão 1 Monografia</t>
  </si>
  <si>
    <t>Entrega 3</t>
  </si>
  <si>
    <t>Entregas anteriores revisadas</t>
  </si>
  <si>
    <t xml:space="preserve">Diagrama de Atividades </t>
  </si>
  <si>
    <t>Diagrama de Estado</t>
  </si>
  <si>
    <t>Diagrama de Sequência</t>
  </si>
  <si>
    <t>Versão 2 Monografia</t>
  </si>
  <si>
    <t>Revisão Entrega</t>
  </si>
  <si>
    <t>Entrega 4</t>
  </si>
  <si>
    <t>Revisão das Estimativas de Prazos e Custos</t>
  </si>
  <si>
    <t>Vitória G, Gabriel S</t>
  </si>
  <si>
    <t>Felipe S, Fábio B</t>
  </si>
  <si>
    <t>Futurize</t>
  </si>
  <si>
    <t>Fábio B, Luisa A</t>
  </si>
  <si>
    <t>Felipe S, Vitória G</t>
  </si>
  <si>
    <t>Pedro C, Gabriel S</t>
  </si>
  <si>
    <t>Para fazer/Em andamento/Finalizado</t>
  </si>
  <si>
    <t>STATUS</t>
  </si>
  <si>
    <t>Para fazer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</si>
</sst>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dd\,\ d/m/yyyy"/>
    <numFmt numFmtId="167" formatCode="[$-416]d\-mmm\-yyyy;@"/>
    <numFmt numFmtId="168" formatCode="d"/>
    <numFmt numFmtId="169" formatCode="d/m/yy;@"/>
  </numFmts>
  <fonts count="3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i/>
      <sz val="11"/>
      <color theme="1"/>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8" fillId="0" borderId="0" applyFont="0" applyFill="0" applyBorder="0" applyAlignment="0" applyProtection="0"/>
    <xf numFmtId="0" fontId="21" fillId="0" borderId="0"/>
    <xf numFmtId="165"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6" fontId="8" fillId="0" borderId="3">
      <alignment horizontal="center" vertical="center"/>
    </xf>
    <xf numFmtId="169"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164"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23" fillId="0" borderId="0" applyNumberFormat="0" applyFill="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11" applyNumberFormat="0" applyAlignment="0" applyProtection="0"/>
    <xf numFmtId="0" fontId="28" fillId="18" borderId="12" applyNumberFormat="0" applyAlignment="0" applyProtection="0"/>
    <xf numFmtId="0" fontId="29" fillId="18" borderId="11" applyNumberFormat="0" applyAlignment="0" applyProtection="0"/>
    <xf numFmtId="0" fontId="30" fillId="0" borderId="13" applyNumberFormat="0" applyFill="0" applyAlignment="0" applyProtection="0"/>
    <xf numFmtId="0" fontId="31" fillId="19" borderId="14" applyNumberFormat="0" applyAlignment="0" applyProtection="0"/>
    <xf numFmtId="0" fontId="32" fillId="0" borderId="0" applyNumberFormat="0" applyFill="0" applyBorder="0" applyAlignment="0" applyProtection="0"/>
    <xf numFmtId="0" fontId="8" fillId="20"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21"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21"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21"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21"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21"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21"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0" fontId="13" fillId="0" borderId="0" xfId="0" applyFont="1"/>
    <xf numFmtId="0" fontId="14" fillId="0" borderId="0" xfId="1" applyFont="1" applyAlignment="1" applyProtection="1"/>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5"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0" fillId="0" borderId="0" xfId="0" applyFont="1" applyAlignment="1">
      <alignment vertical="center"/>
    </xf>
    <xf numFmtId="0" fontId="19" fillId="0" borderId="0" xfId="0" applyFont="1" applyAlignment="1">
      <alignment horizontal="left" vertical="top" wrapText="1" indent="1"/>
    </xf>
    <xf numFmtId="0" fontId="2" fillId="0" borderId="0" xfId="0" applyFont="1" applyAlignment="1">
      <alignment horizontal="left" vertical="top"/>
    </xf>
    <xf numFmtId="0" fontId="17" fillId="0" borderId="0" xfId="0" applyFont="1" applyAlignment="1">
      <alignment vertical="top"/>
    </xf>
    <xf numFmtId="0" fontId="21" fillId="0" borderId="0" xfId="3"/>
    <xf numFmtId="0" fontId="21" fillId="0" borderId="0" xfId="3" applyAlignment="1">
      <alignment wrapText="1"/>
    </xf>
    <xf numFmtId="0" fontId="21" fillId="0" borderId="0" xfId="0" applyFont="1" applyAlignment="1">
      <alignment horizontal="center"/>
    </xf>
    <xf numFmtId="0" fontId="14" fillId="0" borderId="0" xfId="1" applyFont="1" applyProtection="1">
      <alignment vertical="top"/>
    </xf>
    <xf numFmtId="0" fontId="0" fillId="0" borderId="0" xfId="0" applyAlignment="1">
      <alignment wrapText="1"/>
    </xf>
    <xf numFmtId="0" fontId="12" fillId="0" borderId="0" xfId="5" applyAlignment="1">
      <alignment horizontal="left"/>
    </xf>
    <xf numFmtId="0" fontId="9" fillId="0" borderId="0" xfId="6"/>
    <xf numFmtId="0" fontId="9" fillId="0" borderId="0" xfId="7">
      <alignment vertical="top"/>
    </xf>
    <xf numFmtId="0" fontId="8" fillId="8" borderId="2" xfId="11" applyFill="1">
      <alignment horizontal="center" vertical="center"/>
    </xf>
    <xf numFmtId="0" fontId="8" fillId="9" borderId="2" xfId="11" applyFill="1">
      <alignment horizontal="center" vertical="center"/>
    </xf>
    <xf numFmtId="0" fontId="8" fillId="6" borderId="2" xfId="11" applyFill="1">
      <alignment horizontal="center" vertical="center"/>
    </xf>
    <xf numFmtId="0" fontId="8" fillId="5" borderId="2" xfId="11" applyFill="1">
      <alignment horizontal="center" vertical="center"/>
    </xf>
    <xf numFmtId="0" fontId="8" fillId="10" borderId="2" xfId="11" applyFill="1">
      <alignment horizontal="center" vertical="center"/>
    </xf>
    <xf numFmtId="0" fontId="8" fillId="0" borderId="2" xfId="11">
      <alignment horizontal="center" vertical="center"/>
    </xf>
    <xf numFmtId="0" fontId="8" fillId="10" borderId="2" xfId="12" applyFill="1">
      <alignment horizontal="left" vertical="center" indent="2"/>
    </xf>
    <xf numFmtId="0" fontId="8" fillId="0" borderId="2" xfId="12">
      <alignment horizontal="left" vertical="center" indent="2"/>
    </xf>
    <xf numFmtId="0" fontId="0" fillId="0" borderId="0" xfId="0" applyAlignment="1">
      <alignment horizontal="left" vertical="top" wrapText="1" indent="1"/>
    </xf>
    <xf numFmtId="0" fontId="3" fillId="0" borderId="0" xfId="1" applyAlignment="1" applyProtection="1">
      <alignment horizontal="left" vertical="top" indent="1"/>
    </xf>
    <xf numFmtId="168" fontId="10" fillId="7" borderId="6" xfId="0" applyNumberFormat="1" applyFont="1" applyFill="1" applyBorder="1" applyAlignment="1">
      <alignment horizontal="center" vertical="center"/>
    </xf>
    <xf numFmtId="168" fontId="10" fillId="7" borderId="0" xfId="0" applyNumberFormat="1" applyFont="1" applyFill="1" applyAlignment="1">
      <alignment horizontal="center" vertical="center"/>
    </xf>
    <xf numFmtId="168" fontId="10" fillId="7" borderId="7" xfId="0" applyNumberFormat="1" applyFont="1" applyFill="1" applyBorder="1" applyAlignment="1">
      <alignment horizontal="center" vertical="center"/>
    </xf>
    <xf numFmtId="169" fontId="8" fillId="3" borderId="2" xfId="10" applyNumberFormat="1" applyFill="1">
      <alignment horizontal="center" vertical="center"/>
    </xf>
    <xf numFmtId="169" fontId="8" fillId="4" borderId="2" xfId="10" applyNumberFormat="1" applyFill="1">
      <alignment horizontal="center" vertical="center"/>
    </xf>
    <xf numFmtId="169" fontId="8" fillId="11" borderId="2" xfId="10" applyNumberFormat="1" applyFill="1">
      <alignment horizontal="center" vertical="center"/>
    </xf>
    <xf numFmtId="169" fontId="8" fillId="10" borderId="2" xfId="10" applyNumberFormat="1" applyFill="1">
      <alignment horizontal="center" vertical="center"/>
    </xf>
    <xf numFmtId="169" fontId="0" fillId="8" borderId="2" xfId="0" applyNumberFormat="1" applyFill="1" applyBorder="1" applyAlignment="1">
      <alignment horizontal="center" vertical="center"/>
    </xf>
    <xf numFmtId="169" fontId="4" fillId="8" borderId="2" xfId="0" applyNumberFormat="1" applyFont="1" applyFill="1" applyBorder="1" applyAlignment="1">
      <alignment horizontal="center" vertical="center"/>
    </xf>
    <xf numFmtId="169" fontId="0" fillId="9" borderId="2" xfId="0" applyNumberFormat="1" applyFill="1" applyBorder="1" applyAlignment="1">
      <alignment horizontal="center" vertical="center"/>
    </xf>
    <xf numFmtId="169" fontId="4" fillId="9" borderId="2" xfId="0" applyNumberFormat="1" applyFont="1" applyFill="1" applyBorder="1" applyAlignment="1">
      <alignment horizontal="center" vertical="center"/>
    </xf>
    <xf numFmtId="169" fontId="0" fillId="6" borderId="2" xfId="0" applyNumberFormat="1" applyFill="1" applyBorder="1" applyAlignment="1">
      <alignment horizontal="center" vertical="center"/>
    </xf>
    <xf numFmtId="169" fontId="4" fillId="6" borderId="2" xfId="0" applyNumberFormat="1" applyFont="1" applyFill="1" applyBorder="1" applyAlignment="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169" fontId="8" fillId="0" borderId="2" xfId="10" applyNumberFormat="1">
      <alignment horizontal="center" vertical="center"/>
    </xf>
    <xf numFmtId="169" fontId="0" fillId="2" borderId="2" xfId="0" applyNumberFormat="1" applyFont="1" applyFill="1" applyBorder="1" applyAlignment="1">
      <alignment horizontal="center" vertical="center"/>
    </xf>
    <xf numFmtId="0" fontId="34" fillId="2" borderId="2" xfId="0" applyFont="1" applyFill="1" applyBorder="1" applyAlignment="1">
      <alignment horizontal="center" vertical="center"/>
    </xf>
    <xf numFmtId="0" fontId="0" fillId="3" borderId="2" xfId="12" applyFont="1" applyFill="1">
      <alignment horizontal="left" vertical="center" indent="2"/>
    </xf>
    <xf numFmtId="0" fontId="0" fillId="3" borderId="2" xfId="11" applyFont="1" applyFill="1">
      <alignment horizontal="center" vertical="center"/>
    </xf>
    <xf numFmtId="0" fontId="0" fillId="4" borderId="2" xfId="12" applyFont="1" applyFill="1">
      <alignment horizontal="left" vertical="center" indent="2"/>
    </xf>
    <xf numFmtId="0" fontId="0" fillId="4" borderId="2" xfId="11" applyFont="1" applyFill="1">
      <alignment horizontal="center" vertical="center"/>
    </xf>
    <xf numFmtId="0" fontId="0" fillId="11" borderId="2" xfId="12" applyFont="1" applyFill="1">
      <alignment horizontal="left" vertical="center" indent="2"/>
    </xf>
    <xf numFmtId="0" fontId="0" fillId="11" borderId="2" xfId="11" applyFont="1" applyFill="1">
      <alignment horizontal="center" vertical="center"/>
    </xf>
    <xf numFmtId="0" fontId="0" fillId="10" borderId="2" xfId="12" applyFont="1" applyFill="1">
      <alignment horizontal="left" vertical="center" indent="2"/>
    </xf>
    <xf numFmtId="0" fontId="0" fillId="10" borderId="2" xfId="11" applyFont="1" applyFill="1">
      <alignment horizontal="center" vertical="center"/>
    </xf>
    <xf numFmtId="0" fontId="0" fillId="4" borderId="2" xfId="12" applyFont="1" applyFill="1" applyAlignment="1">
      <alignment horizontal="center" vertical="center"/>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8" fillId="0" borderId="3" xfId="9">
      <alignment horizontal="center" vertical="center"/>
    </xf>
    <xf numFmtId="0" fontId="8" fillId="0" borderId="0" xfId="8">
      <alignment horizontal="right" indent="1"/>
    </xf>
    <xf numFmtId="0" fontId="8" fillId="0" borderId="7" xfId="8" applyBorder="1">
      <alignment horizontal="right" indent="1"/>
    </xf>
    <xf numFmtId="0" fontId="0" fillId="0" borderId="10" xfId="0" applyBorder="1"/>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correto" xfId="19" builtinId="27" customBuiltin="1"/>
    <cellStyle name="Início do Projeto" xfId="9"/>
    <cellStyle name="Moeda" xfId="15" builtinId="4" customBuiltin="1"/>
    <cellStyle name="Moeda [0]" xfId="16" builtinId="7" customBuiltin="1"/>
    <cellStyle name="Neutra" xfId="20" builtinId="28" customBuiltin="1"/>
    <cellStyle name="Nome" xfId="11"/>
    <cellStyle name="Normal" xfId="0" builtinId="0" customBuiltin="1"/>
    <cellStyle name="Nota" xfId="27" builtinId="10" customBuiltin="1"/>
    <cellStyle name="Porcentagem" xfId="2" builtinId="5" customBuiltin="1"/>
    <cellStyle name="Saída" xfId="22" builtinId="21" customBuiltin="1"/>
    <cellStyle name="Separador de milhares [0]" xfId="14" builtinId="6" customBuiltin="1"/>
    <cellStyle name="Tarefa" xfId="12"/>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cellStyles>
  <dxfs count="30">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29"/>
      <tableStyleElement type="headerRow" dxfId="28"/>
      <tableStyleElement type="totalRow" dxfId="27"/>
      <tableStyleElement type="firstColumn" dxfId="26"/>
      <tableStyleElement type="lastColumn" dxfId="25"/>
      <tableStyleElement type="firstRowStripe" dxfId="24"/>
      <tableStyleElement type="secondRowStripe" dxfId="23"/>
      <tableStyleElement type="firstColumnStripe" dxfId="22"/>
      <tableStyleElement type="secondColumnStripe" dxfId="2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CronogramaDeProjeto!$A$36:$B$36</c:f>
              <c:strCache>
                <c:ptCount val="2"/>
                <c:pt idx="0">
                  <c:v>Esta é uma linha vazia</c:v>
                </c:pt>
              </c:strCache>
            </c:strRef>
          </c:tx>
          <c:spPr>
            <a:solidFill>
              <a:schemeClr val="accent1"/>
            </a:solidFill>
            <a:ln>
              <a:noFill/>
            </a:ln>
            <a:effectLst/>
          </c:spPr>
          <c:invertIfNegative val="0"/>
          <c:cat>
            <c:strRef>
              <c:f>CronogramaDeProjeto!$C$1:$F$35</c:f>
              <c:strCache>
                <c:ptCount val="8"/>
                <c:pt idx="0">
                  <c:v>ATRIBUÍDO
PARA</c:v>
                </c:pt>
                <c:pt idx="1">
                  <c:v>PROGRESSO</c:v>
                </c:pt>
                <c:pt idx="2">
                  <c:v>INÍCIO</c:v>
                </c:pt>
                <c:pt idx="3">
                  <c:v>TÉRMINO</c:v>
                </c:pt>
                <c:pt idx="4">
                  <c:v>Todos</c:v>
                </c:pt>
                <c:pt idx="5">
                  <c:v>0%</c:v>
                </c:pt>
                <c:pt idx="6">
                  <c:v>26/5/23</c:v>
                </c:pt>
                <c:pt idx="7">
                  <c:v>3/6/23</c:v>
                </c:pt>
              </c:strCache>
            </c:strRef>
          </c:cat>
          <c:val>
            <c:numRef>
              <c:f>CronogramaDeProjeto!$C$36:$F$36</c:f>
              <c:numCache>
                <c:formatCode>0%</c:formatCode>
                <c:ptCount val="4"/>
              </c:numCache>
            </c:numRef>
          </c:val>
          <c:extLst>
            <c:ext xmlns:c16="http://schemas.microsoft.com/office/drawing/2014/chart" uri="{C3380CC4-5D6E-409C-BE32-E72D297353CC}">
              <c16:uniqueId val="{00000000-76F3-484B-88A8-63E0DF8C2049}"/>
            </c:ext>
          </c:extLst>
        </c:ser>
        <c:ser>
          <c:idx val="1"/>
          <c:order val="1"/>
          <c:tx>
            <c:strRef>
              <c:f>CronogramaDeProjeto!$A$37:$B$37</c:f>
              <c:strCache>
                <c:ptCount val="2"/>
                <c:pt idx="0">
                  <c:v>Esta linha marca o final do Cronograma de projeto. NÃO insira nada nessa linha. 
Insira novas linhas ACIMA desta linha para continuar a construção do cronograma de projeto.</c:v>
                </c:pt>
                <c:pt idx="1">
                  <c:v>Insira novas linhas ACIMA desta</c:v>
                </c:pt>
              </c:strCache>
            </c:strRef>
          </c:tx>
          <c:spPr>
            <a:solidFill>
              <a:schemeClr val="accent2"/>
            </a:solidFill>
            <a:ln>
              <a:noFill/>
            </a:ln>
            <a:effectLst/>
          </c:spPr>
          <c:invertIfNegative val="0"/>
          <c:cat>
            <c:strRef>
              <c:f>CronogramaDeProjeto!$C$1:$F$35</c:f>
              <c:strCache>
                <c:ptCount val="8"/>
                <c:pt idx="0">
                  <c:v>ATRIBUÍDO
PARA</c:v>
                </c:pt>
                <c:pt idx="1">
                  <c:v>PROGRESSO</c:v>
                </c:pt>
                <c:pt idx="2">
                  <c:v>INÍCIO</c:v>
                </c:pt>
                <c:pt idx="3">
                  <c:v>TÉRMINO</c:v>
                </c:pt>
                <c:pt idx="4">
                  <c:v>Todos</c:v>
                </c:pt>
                <c:pt idx="5">
                  <c:v>0%</c:v>
                </c:pt>
                <c:pt idx="6">
                  <c:v>26/5/23</c:v>
                </c:pt>
                <c:pt idx="7">
                  <c:v>3/6/23</c:v>
                </c:pt>
              </c:strCache>
            </c:strRef>
          </c:cat>
          <c:val>
            <c:numRef>
              <c:f>CronogramaDeProjeto!$C$37:$F$37</c:f>
              <c:numCache>
                <c:formatCode>0%</c:formatCode>
                <c:ptCount val="4"/>
              </c:numCache>
            </c:numRef>
          </c:val>
          <c:extLst>
            <c:ext xmlns:c16="http://schemas.microsoft.com/office/drawing/2014/chart" uri="{C3380CC4-5D6E-409C-BE32-E72D297353CC}">
              <c16:uniqueId val="{00000001-76F3-484B-88A8-63E0DF8C2049}"/>
            </c:ext>
          </c:extLst>
        </c:ser>
        <c:dLbls>
          <c:showLegendKey val="0"/>
          <c:showVal val="0"/>
          <c:showCatName val="0"/>
          <c:showSerName val="0"/>
          <c:showPercent val="0"/>
          <c:showBubbleSize val="0"/>
        </c:dLbls>
        <c:gapWidth val="219"/>
        <c:overlap val="-27"/>
        <c:axId val="710927535"/>
        <c:axId val="710929615"/>
      </c:barChart>
      <c:catAx>
        <c:axId val="71092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10929615"/>
        <c:crosses val="autoZero"/>
        <c:auto val="1"/>
        <c:lblAlgn val="ctr"/>
        <c:lblOffset val="100"/>
        <c:noMultiLvlLbl val="0"/>
      </c:catAx>
      <c:valAx>
        <c:axId val="71092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1092753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5"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absoluteAnchor>
    <xdr:pos x="0" y="0"/>
    <xdr:ext cx="9645316" cy="6005763"/>
    <xdr:graphicFrame macro="">
      <xdr:nvGraphicFramePr>
        <xdr:cNvPr id="2" name="Gráfico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L40"/>
  <sheetViews>
    <sheetView showGridLines="0" tabSelected="1" showRuler="0" topLeftCell="B1" zoomScaleNormal="100" zoomScalePageLayoutView="70" workbookViewId="0">
      <pane ySplit="6" topLeftCell="A7" activePane="bottomLeft" state="frozen"/>
      <selection pane="bottomLeft" activeCell="AW2" sqref="AW2"/>
    </sheetView>
  </sheetViews>
  <sheetFormatPr defaultRowHeight="30" customHeight="1" x14ac:dyDescent="0.25"/>
  <cols>
    <col min="1" max="1" width="2.7109375" style="42" customWidth="1"/>
    <col min="2" max="2" width="41.140625" customWidth="1"/>
    <col min="3" max="3" width="30.7109375" customWidth="1"/>
    <col min="4" max="4" width="10.7109375" customWidth="1"/>
    <col min="5" max="5" width="10.42578125" style="5" customWidth="1"/>
    <col min="6" max="6" width="10.42578125" customWidth="1"/>
    <col min="7" max="7" width="33.140625" customWidth="1"/>
    <col min="8" max="8" width="0.28515625" customWidth="1"/>
    <col min="9" max="64" width="2.5703125" customWidth="1"/>
    <col min="69" max="70" width="10.28515625"/>
  </cols>
  <sheetData>
    <row r="1" spans="1:64" ht="30" customHeight="1" x14ac:dyDescent="0.45">
      <c r="A1" s="43" t="s">
        <v>0</v>
      </c>
      <c r="B1" s="47" t="s">
        <v>70</v>
      </c>
      <c r="C1" s="1"/>
      <c r="D1" s="2"/>
      <c r="E1" s="4"/>
      <c r="F1" s="33"/>
      <c r="H1" s="2"/>
      <c r="I1" s="11" t="s">
        <v>24</v>
      </c>
    </row>
    <row r="2" spans="1:64" ht="30" customHeight="1" x14ac:dyDescent="0.3">
      <c r="A2" s="42" t="s">
        <v>1</v>
      </c>
      <c r="B2" s="48" t="s">
        <v>13</v>
      </c>
      <c r="I2" s="45" t="s">
        <v>25</v>
      </c>
    </row>
    <row r="3" spans="1:64" ht="30" customHeight="1" x14ac:dyDescent="0.25">
      <c r="A3" s="42" t="s">
        <v>2</v>
      </c>
      <c r="B3" s="49" t="s">
        <v>14</v>
      </c>
      <c r="C3" s="91" t="s">
        <v>17</v>
      </c>
      <c r="D3" s="92"/>
      <c r="E3" s="90">
        <f ca="1">TODAY()</f>
        <v>44988</v>
      </c>
      <c r="F3" s="90"/>
    </row>
    <row r="4" spans="1:64" ht="30" customHeight="1" x14ac:dyDescent="0.25">
      <c r="A4" s="43" t="s">
        <v>3</v>
      </c>
      <c r="C4" s="91" t="s">
        <v>18</v>
      </c>
      <c r="D4" s="92"/>
      <c r="E4" s="7">
        <v>1</v>
      </c>
      <c r="I4" s="87">
        <f ca="1">I5</f>
        <v>44984</v>
      </c>
      <c r="J4" s="88"/>
      <c r="K4" s="88"/>
      <c r="L4" s="88"/>
      <c r="M4" s="88"/>
      <c r="N4" s="88"/>
      <c r="O4" s="89"/>
      <c r="P4" s="87">
        <f ca="1">P5</f>
        <v>44991</v>
      </c>
      <c r="Q4" s="88"/>
      <c r="R4" s="88"/>
      <c r="S4" s="88"/>
      <c r="T4" s="88"/>
      <c r="U4" s="88"/>
      <c r="V4" s="89"/>
      <c r="W4" s="87">
        <f ca="1">W5</f>
        <v>44998</v>
      </c>
      <c r="X4" s="88"/>
      <c r="Y4" s="88"/>
      <c r="Z4" s="88"/>
      <c r="AA4" s="88"/>
      <c r="AB4" s="88"/>
      <c r="AC4" s="89"/>
      <c r="AD4" s="87">
        <f ca="1">AD5</f>
        <v>45005</v>
      </c>
      <c r="AE4" s="88"/>
      <c r="AF4" s="88"/>
      <c r="AG4" s="88"/>
      <c r="AH4" s="88"/>
      <c r="AI4" s="88"/>
      <c r="AJ4" s="89"/>
      <c r="AK4" s="87">
        <f ca="1">AK5</f>
        <v>45012</v>
      </c>
      <c r="AL4" s="88"/>
      <c r="AM4" s="88"/>
      <c r="AN4" s="88"/>
      <c r="AO4" s="88"/>
      <c r="AP4" s="88"/>
      <c r="AQ4" s="89"/>
      <c r="AR4" s="87">
        <f ca="1">AR5</f>
        <v>45019</v>
      </c>
      <c r="AS4" s="88"/>
      <c r="AT4" s="88"/>
      <c r="AU4" s="88"/>
      <c r="AV4" s="88"/>
      <c r="AW4" s="88"/>
      <c r="AX4" s="89"/>
      <c r="AY4" s="87">
        <f ca="1">AY5</f>
        <v>45026</v>
      </c>
      <c r="AZ4" s="88"/>
      <c r="BA4" s="88"/>
      <c r="BB4" s="88"/>
      <c r="BC4" s="88"/>
      <c r="BD4" s="88"/>
      <c r="BE4" s="89"/>
      <c r="BF4" s="87">
        <f ca="1">BF5</f>
        <v>45033</v>
      </c>
      <c r="BG4" s="88"/>
      <c r="BH4" s="88"/>
      <c r="BI4" s="88"/>
      <c r="BJ4" s="88"/>
      <c r="BK4" s="88"/>
      <c r="BL4" s="89"/>
    </row>
    <row r="5" spans="1:64" ht="15" customHeight="1" x14ac:dyDescent="0.25">
      <c r="A5" s="43" t="s">
        <v>4</v>
      </c>
      <c r="B5" s="93"/>
      <c r="C5" s="93"/>
      <c r="D5" s="93"/>
      <c r="E5" s="93"/>
      <c r="F5" s="93"/>
      <c r="G5" s="93"/>
      <c r="I5" s="60">
        <f ca="1">Início_do_projeto-WEEKDAY(Início_do_projeto,1)+2+7*(Semana_de_exibição-1)</f>
        <v>44984</v>
      </c>
      <c r="J5" s="61">
        <f ca="1">I5+1</f>
        <v>44985</v>
      </c>
      <c r="K5" s="61">
        <f t="shared" ref="K5:AX5" ca="1" si="0">J5+1</f>
        <v>44986</v>
      </c>
      <c r="L5" s="61">
        <f t="shared" ca="1" si="0"/>
        <v>44987</v>
      </c>
      <c r="M5" s="61">
        <f t="shared" ca="1" si="0"/>
        <v>44988</v>
      </c>
      <c r="N5" s="61">
        <f t="shared" ca="1" si="0"/>
        <v>44989</v>
      </c>
      <c r="O5" s="62">
        <f t="shared" ca="1" si="0"/>
        <v>44990</v>
      </c>
      <c r="P5" s="60">
        <f ca="1">O5+1</f>
        <v>44991</v>
      </c>
      <c r="Q5" s="61">
        <f ca="1">P5+1</f>
        <v>44992</v>
      </c>
      <c r="R5" s="61">
        <f t="shared" ca="1" si="0"/>
        <v>44993</v>
      </c>
      <c r="S5" s="61">
        <f t="shared" ca="1" si="0"/>
        <v>44994</v>
      </c>
      <c r="T5" s="61">
        <f t="shared" ca="1" si="0"/>
        <v>44995</v>
      </c>
      <c r="U5" s="61">
        <f t="shared" ca="1" si="0"/>
        <v>44996</v>
      </c>
      <c r="V5" s="62">
        <f t="shared" ca="1" si="0"/>
        <v>44997</v>
      </c>
      <c r="W5" s="60">
        <f ca="1">V5+1</f>
        <v>44998</v>
      </c>
      <c r="X5" s="61">
        <f ca="1">W5+1</f>
        <v>44999</v>
      </c>
      <c r="Y5" s="61">
        <f t="shared" ca="1" si="0"/>
        <v>45000</v>
      </c>
      <c r="Z5" s="61">
        <f t="shared" ca="1" si="0"/>
        <v>45001</v>
      </c>
      <c r="AA5" s="61">
        <f t="shared" ca="1" si="0"/>
        <v>45002</v>
      </c>
      <c r="AB5" s="61">
        <f t="shared" ca="1" si="0"/>
        <v>45003</v>
      </c>
      <c r="AC5" s="62">
        <f t="shared" ca="1" si="0"/>
        <v>45004</v>
      </c>
      <c r="AD5" s="60">
        <f ca="1">AC5+1</f>
        <v>45005</v>
      </c>
      <c r="AE5" s="61">
        <f ca="1">AD5+1</f>
        <v>45006</v>
      </c>
      <c r="AF5" s="61">
        <f t="shared" ca="1" si="0"/>
        <v>45007</v>
      </c>
      <c r="AG5" s="61">
        <f t="shared" ca="1" si="0"/>
        <v>45008</v>
      </c>
      <c r="AH5" s="61">
        <f t="shared" ca="1" si="0"/>
        <v>45009</v>
      </c>
      <c r="AI5" s="61">
        <f t="shared" ca="1" si="0"/>
        <v>45010</v>
      </c>
      <c r="AJ5" s="62">
        <f t="shared" ca="1" si="0"/>
        <v>45011</v>
      </c>
      <c r="AK5" s="60">
        <f ca="1">AJ5+1</f>
        <v>45012</v>
      </c>
      <c r="AL5" s="61">
        <f ca="1">AK5+1</f>
        <v>45013</v>
      </c>
      <c r="AM5" s="61">
        <f t="shared" ca="1" si="0"/>
        <v>45014</v>
      </c>
      <c r="AN5" s="61">
        <f t="shared" ca="1" si="0"/>
        <v>45015</v>
      </c>
      <c r="AO5" s="61">
        <f t="shared" ca="1" si="0"/>
        <v>45016</v>
      </c>
      <c r="AP5" s="61">
        <f t="shared" ca="1" si="0"/>
        <v>45017</v>
      </c>
      <c r="AQ5" s="62">
        <f t="shared" ca="1" si="0"/>
        <v>45018</v>
      </c>
      <c r="AR5" s="60">
        <f ca="1">AQ5+1</f>
        <v>45019</v>
      </c>
      <c r="AS5" s="61">
        <f ca="1">AR5+1</f>
        <v>45020</v>
      </c>
      <c r="AT5" s="61">
        <f t="shared" ca="1" si="0"/>
        <v>45021</v>
      </c>
      <c r="AU5" s="61">
        <f t="shared" ca="1" si="0"/>
        <v>45022</v>
      </c>
      <c r="AV5" s="61">
        <f t="shared" ca="1" si="0"/>
        <v>45023</v>
      </c>
      <c r="AW5" s="61">
        <f t="shared" ca="1" si="0"/>
        <v>45024</v>
      </c>
      <c r="AX5" s="62">
        <f t="shared" ca="1" si="0"/>
        <v>45025</v>
      </c>
      <c r="AY5" s="60">
        <f ca="1">AX5+1</f>
        <v>45026</v>
      </c>
      <c r="AZ5" s="61">
        <f ca="1">AY5+1</f>
        <v>45027</v>
      </c>
      <c r="BA5" s="61">
        <f t="shared" ref="BA5:BE5" ca="1" si="1">AZ5+1</f>
        <v>45028</v>
      </c>
      <c r="BB5" s="61">
        <f t="shared" ca="1" si="1"/>
        <v>45029</v>
      </c>
      <c r="BC5" s="61">
        <f t="shared" ca="1" si="1"/>
        <v>45030</v>
      </c>
      <c r="BD5" s="61">
        <f t="shared" ca="1" si="1"/>
        <v>45031</v>
      </c>
      <c r="BE5" s="62">
        <f t="shared" ca="1" si="1"/>
        <v>45032</v>
      </c>
      <c r="BF5" s="60">
        <f ca="1">BE5+1</f>
        <v>45033</v>
      </c>
      <c r="BG5" s="61">
        <f ca="1">BF5+1</f>
        <v>45034</v>
      </c>
      <c r="BH5" s="61">
        <f t="shared" ref="BH5:BL5" ca="1" si="2">BG5+1</f>
        <v>45035</v>
      </c>
      <c r="BI5" s="61">
        <f t="shared" ca="1" si="2"/>
        <v>45036</v>
      </c>
      <c r="BJ5" s="61">
        <f t="shared" ca="1" si="2"/>
        <v>45037</v>
      </c>
      <c r="BK5" s="61">
        <f t="shared" ca="1" si="2"/>
        <v>45038</v>
      </c>
      <c r="BL5" s="62">
        <f t="shared" ca="1" si="2"/>
        <v>45039</v>
      </c>
    </row>
    <row r="6" spans="1:64" ht="30" customHeight="1" thickBot="1" x14ac:dyDescent="0.3">
      <c r="A6" s="43" t="s">
        <v>5</v>
      </c>
      <c r="B6" s="8" t="s">
        <v>15</v>
      </c>
      <c r="C6" s="9" t="s">
        <v>19</v>
      </c>
      <c r="D6" s="9" t="s">
        <v>20</v>
      </c>
      <c r="E6" s="9" t="s">
        <v>21</v>
      </c>
      <c r="F6" s="9" t="s">
        <v>22</v>
      </c>
      <c r="G6" s="9" t="s">
        <v>75</v>
      </c>
      <c r="H6" s="9" t="s">
        <v>23</v>
      </c>
      <c r="I6" s="10" t="str">
        <f t="shared" ref="I6" ca="1" si="3">LEFT(TEXT(I5,"ddd"),1)</f>
        <v>s</v>
      </c>
      <c r="J6" s="10" t="str">
        <f t="shared" ref="J6:AR6" ca="1" si="4">LEFT(TEXT(J5,"ddd"),1)</f>
        <v>t</v>
      </c>
      <c r="K6" s="10" t="str">
        <f t="shared" ca="1" si="4"/>
        <v>q</v>
      </c>
      <c r="L6" s="10" t="str">
        <f t="shared" ca="1" si="4"/>
        <v>q</v>
      </c>
      <c r="M6" s="10" t="str">
        <f t="shared" ca="1" si="4"/>
        <v>s</v>
      </c>
      <c r="N6" s="10" t="str">
        <f t="shared" ca="1" si="4"/>
        <v>s</v>
      </c>
      <c r="O6" s="10" t="str">
        <f t="shared" ca="1" si="4"/>
        <v>d</v>
      </c>
      <c r="P6" s="10" t="str">
        <f t="shared" ca="1" si="4"/>
        <v>s</v>
      </c>
      <c r="Q6" s="10" t="str">
        <f t="shared" ca="1" si="4"/>
        <v>t</v>
      </c>
      <c r="R6" s="10" t="str">
        <f t="shared" ca="1" si="4"/>
        <v>q</v>
      </c>
      <c r="S6" s="10" t="str">
        <f t="shared" ca="1" si="4"/>
        <v>q</v>
      </c>
      <c r="T6" s="10" t="str">
        <f t="shared" ca="1" si="4"/>
        <v>s</v>
      </c>
      <c r="U6" s="10" t="str">
        <f t="shared" ca="1" si="4"/>
        <v>s</v>
      </c>
      <c r="V6" s="10" t="str">
        <f t="shared" ca="1" si="4"/>
        <v>d</v>
      </c>
      <c r="W6" s="10" t="str">
        <f t="shared" ca="1" si="4"/>
        <v>s</v>
      </c>
      <c r="X6" s="10" t="str">
        <f t="shared" ca="1" si="4"/>
        <v>t</v>
      </c>
      <c r="Y6" s="10" t="str">
        <f t="shared" ca="1" si="4"/>
        <v>q</v>
      </c>
      <c r="Z6" s="10" t="str">
        <f t="shared" ca="1" si="4"/>
        <v>q</v>
      </c>
      <c r="AA6" s="10" t="str">
        <f t="shared" ca="1" si="4"/>
        <v>s</v>
      </c>
      <c r="AB6" s="10" t="str">
        <f t="shared" ca="1" si="4"/>
        <v>s</v>
      </c>
      <c r="AC6" s="10" t="str">
        <f t="shared" ca="1" si="4"/>
        <v>d</v>
      </c>
      <c r="AD6" s="10" t="str">
        <f t="shared" ca="1" si="4"/>
        <v>s</v>
      </c>
      <c r="AE6" s="10" t="str">
        <f t="shared" ca="1" si="4"/>
        <v>t</v>
      </c>
      <c r="AF6" s="10" t="str">
        <f t="shared" ca="1" si="4"/>
        <v>q</v>
      </c>
      <c r="AG6" s="10" t="str">
        <f t="shared" ca="1" si="4"/>
        <v>q</v>
      </c>
      <c r="AH6" s="10" t="str">
        <f t="shared" ca="1" si="4"/>
        <v>s</v>
      </c>
      <c r="AI6" s="10" t="str">
        <f t="shared" ca="1" si="4"/>
        <v>s</v>
      </c>
      <c r="AJ6" s="10" t="str">
        <f t="shared" ca="1" si="4"/>
        <v>d</v>
      </c>
      <c r="AK6" s="10" t="str">
        <f t="shared" ca="1" si="4"/>
        <v>s</v>
      </c>
      <c r="AL6" s="10" t="str">
        <f t="shared" ca="1" si="4"/>
        <v>t</v>
      </c>
      <c r="AM6" s="10" t="str">
        <f t="shared" ca="1" si="4"/>
        <v>q</v>
      </c>
      <c r="AN6" s="10" t="str">
        <f t="shared" ca="1" si="4"/>
        <v>q</v>
      </c>
      <c r="AO6" s="10" t="str">
        <f t="shared" ca="1" si="4"/>
        <v>s</v>
      </c>
      <c r="AP6" s="10" t="str">
        <f t="shared" ca="1" si="4"/>
        <v>s</v>
      </c>
      <c r="AQ6" s="10" t="str">
        <f t="shared" ca="1" si="4"/>
        <v>d</v>
      </c>
      <c r="AR6" s="10" t="str">
        <f t="shared" ca="1" si="4"/>
        <v>s</v>
      </c>
      <c r="AS6" s="10" t="str">
        <f t="shared" ref="AS6:BL6" ca="1" si="5">LEFT(TEXT(AS5,"ddd"),1)</f>
        <v>t</v>
      </c>
      <c r="AT6" s="10" t="str">
        <f t="shared" ca="1" si="5"/>
        <v>q</v>
      </c>
      <c r="AU6" s="10" t="str">
        <f t="shared" ca="1" si="5"/>
        <v>q</v>
      </c>
      <c r="AV6" s="10" t="str">
        <f t="shared" ca="1" si="5"/>
        <v>s</v>
      </c>
      <c r="AW6" s="10" t="str">
        <f t="shared" ca="1" si="5"/>
        <v>s</v>
      </c>
      <c r="AX6" s="10" t="str">
        <f t="shared" ca="1" si="5"/>
        <v>d</v>
      </c>
      <c r="AY6" s="10" t="str">
        <f t="shared" ca="1" si="5"/>
        <v>s</v>
      </c>
      <c r="AZ6" s="10" t="str">
        <f t="shared" ca="1" si="5"/>
        <v>t</v>
      </c>
      <c r="BA6" s="10" t="str">
        <f t="shared" ca="1" si="5"/>
        <v>q</v>
      </c>
      <c r="BB6" s="10" t="str">
        <f t="shared" ca="1" si="5"/>
        <v>q</v>
      </c>
      <c r="BC6" s="10" t="str">
        <f t="shared" ca="1" si="5"/>
        <v>s</v>
      </c>
      <c r="BD6" s="10" t="str">
        <f t="shared" ca="1" si="5"/>
        <v>s</v>
      </c>
      <c r="BE6" s="10" t="str">
        <f t="shared" ca="1" si="5"/>
        <v>d</v>
      </c>
      <c r="BF6" s="10" t="str">
        <f t="shared" ca="1" si="5"/>
        <v>s</v>
      </c>
      <c r="BG6" s="10" t="str">
        <f t="shared" ca="1" si="5"/>
        <v>t</v>
      </c>
      <c r="BH6" s="10" t="str">
        <f t="shared" ca="1" si="5"/>
        <v>q</v>
      </c>
      <c r="BI6" s="10" t="str">
        <f t="shared" ca="1" si="5"/>
        <v>q</v>
      </c>
      <c r="BJ6" s="10" t="str">
        <f t="shared" ca="1" si="5"/>
        <v>s</v>
      </c>
      <c r="BK6" s="10" t="str">
        <f t="shared" ca="1" si="5"/>
        <v>s</v>
      </c>
      <c r="BL6" s="10" t="str">
        <f t="shared" ca="1" si="5"/>
        <v>d</v>
      </c>
    </row>
    <row r="7" spans="1:64" ht="30" hidden="1" customHeight="1" thickBot="1" x14ac:dyDescent="0.3">
      <c r="A7" s="42" t="s">
        <v>6</v>
      </c>
      <c r="C7" s="46"/>
      <c r="E7"/>
      <c r="H7" t="str">
        <f t="shared" ref="H7:H37" ca="1" si="6">IF(OR(ISBLANK(Início_do_projeto),ISBLANK(término_da_tarefa)),"",término_da_tarefa-Início_do_projeto+1)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s="3" customFormat="1" ht="30" customHeight="1" thickBot="1" x14ac:dyDescent="0.3">
      <c r="A8" s="43" t="s">
        <v>7</v>
      </c>
      <c r="B8" s="15" t="s">
        <v>40</v>
      </c>
      <c r="C8" s="50"/>
      <c r="D8" s="16"/>
      <c r="E8" s="67"/>
      <c r="F8" s="68"/>
      <c r="G8" s="68" t="s">
        <v>74</v>
      </c>
      <c r="H8" s="14" t="str">
        <f t="shared" ca="1" si="6"/>
        <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row>
    <row r="9" spans="1:64" s="3" customFormat="1" ht="30" customHeight="1" thickBot="1" x14ac:dyDescent="0.3">
      <c r="A9" s="43" t="s">
        <v>8</v>
      </c>
      <c r="B9" s="78" t="s">
        <v>41</v>
      </c>
      <c r="C9" s="79" t="s">
        <v>44</v>
      </c>
      <c r="D9" s="17">
        <v>0</v>
      </c>
      <c r="E9" s="63">
        <f ca="1">Início_do_projeto</f>
        <v>44988</v>
      </c>
      <c r="F9" s="63">
        <f ca="1">E9+8</f>
        <v>44996</v>
      </c>
      <c r="G9" s="79" t="s">
        <v>76</v>
      </c>
      <c r="H9" s="14">
        <f t="shared" ca="1" si="6"/>
        <v>9</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spans="1:64" s="3" customFormat="1" ht="30" customHeight="1" thickBot="1" x14ac:dyDescent="0.3">
      <c r="A10" s="43"/>
      <c r="B10" s="78" t="s">
        <v>54</v>
      </c>
      <c r="C10" s="79" t="s">
        <v>47</v>
      </c>
      <c r="D10" s="17">
        <v>0</v>
      </c>
      <c r="E10" s="63">
        <f ca="1">F9+1</f>
        <v>44997</v>
      </c>
      <c r="F10" s="63">
        <f ca="1">E10+5</f>
        <v>45002</v>
      </c>
      <c r="G10" s="79" t="s">
        <v>76</v>
      </c>
      <c r="H10" s="14">
        <f t="shared" ca="1" si="6"/>
        <v>15</v>
      </c>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spans="1:64" s="3" customFormat="1" ht="30" customHeight="1" thickBot="1" x14ac:dyDescent="0.3">
      <c r="A11" s="43" t="s">
        <v>9</v>
      </c>
      <c r="B11" s="78" t="s">
        <v>42</v>
      </c>
      <c r="C11" s="79" t="s">
        <v>47</v>
      </c>
      <c r="D11" s="17">
        <v>0</v>
      </c>
      <c r="E11" s="63">
        <f ca="1">F10</f>
        <v>45002</v>
      </c>
      <c r="F11" s="63">
        <f ca="1">E11+9</f>
        <v>45011</v>
      </c>
      <c r="G11" s="79" t="s">
        <v>76</v>
      </c>
      <c r="H11" s="14">
        <f t="shared" ca="1" si="6"/>
        <v>24</v>
      </c>
      <c r="I11" s="30"/>
      <c r="J11" s="30"/>
      <c r="K11" s="30"/>
      <c r="L11" s="30"/>
      <c r="M11" s="30"/>
      <c r="N11" s="30"/>
      <c r="O11" s="30"/>
      <c r="P11" s="30"/>
      <c r="Q11" s="30"/>
      <c r="R11" s="30"/>
      <c r="S11" s="30"/>
      <c r="T11" s="30"/>
      <c r="U11" s="31"/>
      <c r="V11" s="31"/>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spans="1:64" s="3" customFormat="1" ht="30" customHeight="1" thickBot="1" x14ac:dyDescent="0.3">
      <c r="A12" s="43"/>
      <c r="B12" s="78" t="s">
        <v>43</v>
      </c>
      <c r="C12" s="79" t="s">
        <v>48</v>
      </c>
      <c r="D12" s="17">
        <v>0</v>
      </c>
      <c r="E12" s="63">
        <f ca="1">E11</f>
        <v>45002</v>
      </c>
      <c r="F12" s="63">
        <f ca="1">E12+8</f>
        <v>45010</v>
      </c>
      <c r="G12" s="79" t="s">
        <v>76</v>
      </c>
      <c r="H12" s="14">
        <f t="shared" ca="1" si="6"/>
        <v>23</v>
      </c>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spans="1:64" s="3" customFormat="1" ht="30" customHeight="1" thickBot="1" x14ac:dyDescent="0.3">
      <c r="A13" s="42"/>
      <c r="B13" s="78" t="s">
        <v>45</v>
      </c>
      <c r="C13" s="79" t="s">
        <v>49</v>
      </c>
      <c r="D13" s="17">
        <v>0</v>
      </c>
      <c r="E13" s="63">
        <f ca="1">E12</f>
        <v>45002</v>
      </c>
      <c r="F13" s="63">
        <f ca="1">E13+8</f>
        <v>45010</v>
      </c>
      <c r="G13" s="79" t="s">
        <v>76</v>
      </c>
      <c r="H13" s="14">
        <f t="shared" ca="1" si="6"/>
        <v>23</v>
      </c>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spans="1:64" s="3" customFormat="1" ht="30" customHeight="1" thickBot="1" x14ac:dyDescent="0.3">
      <c r="A14" s="42"/>
      <c r="B14" s="78" t="s">
        <v>46</v>
      </c>
      <c r="C14" s="79" t="s">
        <v>50</v>
      </c>
      <c r="D14" s="17">
        <v>0</v>
      </c>
      <c r="E14" s="63">
        <f ca="1">E13</f>
        <v>45002</v>
      </c>
      <c r="F14" s="63">
        <f ca="1">E13+8</f>
        <v>45010</v>
      </c>
      <c r="G14" s="79" t="s">
        <v>76</v>
      </c>
      <c r="H14" s="14">
        <f t="shared" ca="1" si="6"/>
        <v>23</v>
      </c>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spans="1:64" s="3" customFormat="1" ht="30" customHeight="1" thickBot="1" x14ac:dyDescent="0.3">
      <c r="A15" s="42"/>
      <c r="B15" s="78" t="s">
        <v>65</v>
      </c>
      <c r="C15" s="79" t="s">
        <v>53</v>
      </c>
      <c r="D15" s="17">
        <v>0</v>
      </c>
      <c r="E15" s="63">
        <f ca="1">F14</f>
        <v>45010</v>
      </c>
      <c r="F15" s="63">
        <f ca="1">E15+4</f>
        <v>45014</v>
      </c>
      <c r="G15" s="79" t="s">
        <v>76</v>
      </c>
      <c r="H15" s="14">
        <f t="shared" ca="1" si="6"/>
        <v>27</v>
      </c>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spans="1:64" s="3" customFormat="1" ht="30" customHeight="1" thickBot="1" x14ac:dyDescent="0.3">
      <c r="A16" s="43" t="s">
        <v>10</v>
      </c>
      <c r="B16" s="18" t="s">
        <v>51</v>
      </c>
      <c r="C16" s="51"/>
      <c r="D16" s="19"/>
      <c r="E16" s="69"/>
      <c r="F16" s="70"/>
      <c r="G16" s="70"/>
      <c r="H16" s="14" t="str">
        <f t="shared" ca="1" si="6"/>
        <v/>
      </c>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spans="1:64" s="3" customFormat="1" ht="30" customHeight="1" thickBot="1" x14ac:dyDescent="0.3">
      <c r="A17" s="43"/>
      <c r="B17" s="80" t="s">
        <v>52</v>
      </c>
      <c r="C17" s="81" t="s">
        <v>50</v>
      </c>
      <c r="D17" s="20">
        <v>0</v>
      </c>
      <c r="E17" s="64">
        <f ca="1">F15+1</f>
        <v>45015</v>
      </c>
      <c r="F17" s="64">
        <f ca="1">E17+5</f>
        <v>45020</v>
      </c>
      <c r="G17" s="86" t="s">
        <v>76</v>
      </c>
      <c r="H17" s="14">
        <f t="shared" ca="1" si="6"/>
        <v>33</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spans="1:64" s="3" customFormat="1" ht="30" customHeight="1" thickBot="1" x14ac:dyDescent="0.3">
      <c r="A18" s="42"/>
      <c r="B18" s="80" t="s">
        <v>55</v>
      </c>
      <c r="C18" s="81" t="s">
        <v>68</v>
      </c>
      <c r="D18" s="20">
        <v>0</v>
      </c>
      <c r="E18" s="64">
        <f ca="1">E17</f>
        <v>45015</v>
      </c>
      <c r="F18" s="64">
        <f ca="1">E18+11</f>
        <v>45026</v>
      </c>
      <c r="G18" s="86" t="s">
        <v>76</v>
      </c>
      <c r="H18" s="14">
        <f t="shared" ca="1" si="6"/>
        <v>39</v>
      </c>
      <c r="I18" s="30"/>
      <c r="J18" s="30"/>
      <c r="K18" s="30"/>
      <c r="L18" s="30"/>
      <c r="M18" s="30"/>
      <c r="N18" s="30"/>
      <c r="O18" s="30"/>
      <c r="P18" s="30"/>
      <c r="Q18" s="30"/>
      <c r="R18" s="30"/>
      <c r="S18" s="30"/>
      <c r="T18" s="30"/>
      <c r="U18" s="31"/>
      <c r="V18" s="31"/>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spans="1:64" s="3" customFormat="1" ht="30" customHeight="1" thickBot="1" x14ac:dyDescent="0.3">
      <c r="A19" s="42"/>
      <c r="B19" s="80" t="s">
        <v>56</v>
      </c>
      <c r="C19" s="81" t="s">
        <v>69</v>
      </c>
      <c r="D19" s="20">
        <v>0</v>
      </c>
      <c r="E19" s="64">
        <f ca="1">E18</f>
        <v>45015</v>
      </c>
      <c r="F19" s="64">
        <f ca="1">E19+11</f>
        <v>45026</v>
      </c>
      <c r="G19" s="86" t="s">
        <v>76</v>
      </c>
      <c r="H19" s="14">
        <f t="shared" ca="1" si="6"/>
        <v>39</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spans="1:64" s="3" customFormat="1" ht="30" customHeight="1" thickBot="1" x14ac:dyDescent="0.3">
      <c r="A20" s="42"/>
      <c r="B20" s="80" t="s">
        <v>57</v>
      </c>
      <c r="C20" s="81" t="s">
        <v>49</v>
      </c>
      <c r="D20" s="20">
        <v>0</v>
      </c>
      <c r="E20" s="64">
        <f ca="1">E19</f>
        <v>45015</v>
      </c>
      <c r="F20" s="64">
        <f ca="1">E20+11</f>
        <v>45026</v>
      </c>
      <c r="G20" s="86" t="s">
        <v>76</v>
      </c>
      <c r="H20" s="14">
        <f t="shared" ca="1" si="6"/>
        <v>39</v>
      </c>
      <c r="I20" s="30"/>
      <c r="J20" s="30"/>
      <c r="K20" s="30"/>
      <c r="L20" s="30"/>
      <c r="M20" s="30"/>
      <c r="N20" s="30"/>
      <c r="O20" s="30"/>
      <c r="P20" s="30"/>
      <c r="Q20" s="30"/>
      <c r="R20" s="30"/>
      <c r="S20" s="30"/>
      <c r="T20" s="30"/>
      <c r="U20" s="30"/>
      <c r="V20" s="30"/>
      <c r="W20" s="30"/>
      <c r="X20" s="30"/>
      <c r="Y20" s="31"/>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spans="1:64" s="3" customFormat="1" ht="30" customHeight="1" thickBot="1" x14ac:dyDescent="0.3">
      <c r="A21" s="42"/>
      <c r="B21" s="80" t="s">
        <v>58</v>
      </c>
      <c r="C21" s="81" t="s">
        <v>48</v>
      </c>
      <c r="D21" s="20">
        <v>0</v>
      </c>
      <c r="E21" s="64">
        <f ca="1">E19</f>
        <v>45015</v>
      </c>
      <c r="F21" s="64">
        <f ca="1">E21+11</f>
        <v>45026</v>
      </c>
      <c r="G21" s="86" t="s">
        <v>76</v>
      </c>
      <c r="H21" s="14">
        <f t="shared" ca="1" si="6"/>
        <v>39</v>
      </c>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spans="1:64" s="3" customFormat="1" ht="30" customHeight="1" thickBot="1" x14ac:dyDescent="0.3">
      <c r="A22" s="42"/>
      <c r="B22" s="80" t="s">
        <v>65</v>
      </c>
      <c r="C22" s="81" t="s">
        <v>53</v>
      </c>
      <c r="D22" s="20">
        <v>0</v>
      </c>
      <c r="E22" s="64">
        <f ca="1">F21</f>
        <v>45026</v>
      </c>
      <c r="F22" s="64">
        <f ca="1">E22+8</f>
        <v>45034</v>
      </c>
      <c r="G22" s="86" t="s">
        <v>76</v>
      </c>
      <c r="H22" s="14">
        <f t="shared" ca="1" si="6"/>
        <v>47</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spans="1:64" s="3" customFormat="1" ht="30" customHeight="1" thickBot="1" x14ac:dyDescent="0.3">
      <c r="A23" s="42" t="s">
        <v>11</v>
      </c>
      <c r="B23" s="21" t="s">
        <v>59</v>
      </c>
      <c r="C23" s="52"/>
      <c r="D23" s="22"/>
      <c r="E23" s="71"/>
      <c r="F23" s="72"/>
      <c r="G23" s="72"/>
      <c r="H23" s="14" t="str">
        <f t="shared" ca="1" si="6"/>
        <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spans="1:64" s="3" customFormat="1" ht="30" customHeight="1" thickBot="1" x14ac:dyDescent="0.3">
      <c r="A24" s="42"/>
      <c r="B24" s="82" t="s">
        <v>60</v>
      </c>
      <c r="C24" s="83" t="s">
        <v>47</v>
      </c>
      <c r="D24" s="23">
        <v>0</v>
      </c>
      <c r="E24" s="65">
        <f ca="1">F22+1</f>
        <v>45035</v>
      </c>
      <c r="F24" s="65">
        <f ca="1">E24+5</f>
        <v>45040</v>
      </c>
      <c r="G24" s="83" t="s">
        <v>76</v>
      </c>
      <c r="H24" s="14">
        <f t="shared" ca="1" si="6"/>
        <v>53</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spans="1:64" s="3" customFormat="1" ht="30" customHeight="1" thickBot="1" x14ac:dyDescent="0.3">
      <c r="A25" s="42"/>
      <c r="B25" s="82" t="s">
        <v>61</v>
      </c>
      <c r="C25" s="83" t="s">
        <v>73</v>
      </c>
      <c r="D25" s="23">
        <v>0</v>
      </c>
      <c r="E25" s="65">
        <f ca="1">E24</f>
        <v>45035</v>
      </c>
      <c r="F25" s="65">
        <f ca="1">E25+20</f>
        <v>45055</v>
      </c>
      <c r="G25" s="83" t="s">
        <v>76</v>
      </c>
      <c r="H25" s="14">
        <f t="shared" ca="1" si="6"/>
        <v>68</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spans="1:64" s="3" customFormat="1" ht="30" customHeight="1" thickBot="1" x14ac:dyDescent="0.3">
      <c r="A26" s="42"/>
      <c r="B26" s="82" t="s">
        <v>62</v>
      </c>
      <c r="C26" s="83" t="s">
        <v>72</v>
      </c>
      <c r="D26" s="23">
        <v>0</v>
      </c>
      <c r="E26" s="65">
        <f ca="1">E25</f>
        <v>45035</v>
      </c>
      <c r="F26" s="65">
        <f ca="1">E26+20</f>
        <v>45055</v>
      </c>
      <c r="G26" s="83" t="s">
        <v>76</v>
      </c>
      <c r="H26" s="14">
        <f t="shared" ca="1" si="6"/>
        <v>68</v>
      </c>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spans="1:64" s="3" customFormat="1" ht="30" customHeight="1" thickBot="1" x14ac:dyDescent="0.3">
      <c r="A27" s="42"/>
      <c r="B27" s="82" t="s">
        <v>63</v>
      </c>
      <c r="C27" s="83" t="s">
        <v>71</v>
      </c>
      <c r="D27" s="23">
        <v>0</v>
      </c>
      <c r="E27" s="65">
        <f ca="1">E26</f>
        <v>45035</v>
      </c>
      <c r="F27" s="65">
        <f ca="1">E27+20</f>
        <v>45055</v>
      </c>
      <c r="G27" s="83" t="s">
        <v>76</v>
      </c>
      <c r="H27" s="14">
        <f t="shared" ca="1" si="6"/>
        <v>68</v>
      </c>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row>
    <row r="28" spans="1:64" s="3" customFormat="1" ht="30" customHeight="1" thickBot="1" x14ac:dyDescent="0.3">
      <c r="A28" s="42"/>
      <c r="B28" s="82" t="s">
        <v>64</v>
      </c>
      <c r="C28" s="83" t="s">
        <v>48</v>
      </c>
      <c r="D28" s="23">
        <v>0</v>
      </c>
      <c r="E28" s="65">
        <f ca="1">E25</f>
        <v>45035</v>
      </c>
      <c r="F28" s="65">
        <f ca="1">E28+20</f>
        <v>45055</v>
      </c>
      <c r="G28" s="83" t="s">
        <v>76</v>
      </c>
      <c r="H28" s="14">
        <f t="shared" ca="1" si="6"/>
        <v>68</v>
      </c>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row>
    <row r="29" spans="1:64" s="3" customFormat="1" ht="30" customHeight="1" thickBot="1" x14ac:dyDescent="0.3">
      <c r="A29" s="42"/>
      <c r="B29" s="82" t="s">
        <v>65</v>
      </c>
      <c r="C29" s="83" t="s">
        <v>53</v>
      </c>
      <c r="D29" s="23">
        <v>0</v>
      </c>
      <c r="E29" s="65">
        <f ca="1">F28</f>
        <v>45055</v>
      </c>
      <c r="F29" s="65">
        <f ca="1">E29+10</f>
        <v>45065</v>
      </c>
      <c r="G29" s="83" t="s">
        <v>76</v>
      </c>
      <c r="H29" s="14">
        <f t="shared" ca="1" si="6"/>
        <v>78</v>
      </c>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row>
    <row r="30" spans="1:64" s="3" customFormat="1" ht="30" customHeight="1" thickBot="1" x14ac:dyDescent="0.3">
      <c r="A30" s="42" t="s">
        <v>11</v>
      </c>
      <c r="B30" s="24" t="s">
        <v>66</v>
      </c>
      <c r="C30" s="53"/>
      <c r="D30" s="25"/>
      <c r="E30" s="73"/>
      <c r="F30" s="74"/>
      <c r="G30" s="74"/>
      <c r="H30" s="14" t="str">
        <f t="shared" ca="1" si="6"/>
        <v/>
      </c>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row>
    <row r="31" spans="1:64" s="3" customFormat="1" ht="30" customHeight="1" thickBot="1" x14ac:dyDescent="0.3">
      <c r="A31" s="42"/>
      <c r="B31" s="84" t="s">
        <v>60</v>
      </c>
      <c r="C31" s="85" t="s">
        <v>53</v>
      </c>
      <c r="D31" s="26">
        <v>0</v>
      </c>
      <c r="E31" s="66">
        <f ca="1">F29+1</f>
        <v>45066</v>
      </c>
      <c r="F31" s="66">
        <f ca="1">E31+5</f>
        <v>45071</v>
      </c>
      <c r="G31" s="85" t="s">
        <v>76</v>
      </c>
      <c r="H31" s="14">
        <f t="shared" ca="1" si="6"/>
        <v>84</v>
      </c>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row>
    <row r="32" spans="1:64" s="3" customFormat="1" ht="30" customHeight="1" thickBot="1" x14ac:dyDescent="0.3">
      <c r="A32" s="42"/>
      <c r="B32" s="84" t="s">
        <v>67</v>
      </c>
      <c r="C32" s="85" t="s">
        <v>53</v>
      </c>
      <c r="D32" s="26">
        <v>0</v>
      </c>
      <c r="E32" s="66">
        <f ca="1">F31+1</f>
        <v>45072</v>
      </c>
      <c r="F32" s="66">
        <f ca="1">E32+8</f>
        <v>45080</v>
      </c>
      <c r="G32" s="85" t="s">
        <v>76</v>
      </c>
      <c r="H32" s="14">
        <f t="shared" ca="1" si="6"/>
        <v>93</v>
      </c>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row>
    <row r="33" spans="1:64" s="3" customFormat="1" ht="30" customHeight="1" thickBot="1" x14ac:dyDescent="0.3">
      <c r="A33" s="42"/>
      <c r="B33" s="56"/>
      <c r="C33" s="54"/>
      <c r="D33" s="26"/>
      <c r="E33" s="66"/>
      <c r="F33" s="66"/>
      <c r="G33" s="54"/>
      <c r="H33" s="14" t="str">
        <f t="shared" ca="1" si="6"/>
        <v/>
      </c>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row>
    <row r="34" spans="1:64" s="3" customFormat="1" ht="30" customHeight="1" thickBot="1" x14ac:dyDescent="0.3">
      <c r="A34" s="42"/>
      <c r="B34" s="56"/>
      <c r="C34" s="54"/>
      <c r="D34" s="26"/>
      <c r="E34" s="66"/>
      <c r="F34" s="66"/>
      <c r="G34" s="54"/>
      <c r="H34" s="14" t="str">
        <f t="shared" ca="1" si="6"/>
        <v/>
      </c>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row>
    <row r="35" spans="1:64" s="3" customFormat="1" ht="30" customHeight="1" thickBot="1" x14ac:dyDescent="0.3">
      <c r="A35" s="42"/>
      <c r="B35" s="56"/>
      <c r="C35" s="54"/>
      <c r="D35" s="26"/>
      <c r="E35" s="66"/>
      <c r="F35" s="66"/>
      <c r="G35" s="54"/>
      <c r="H35" s="14" t="str">
        <f t="shared" ca="1" si="6"/>
        <v/>
      </c>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row>
    <row r="36" spans="1:64" s="3" customFormat="1" ht="30" customHeight="1" thickBot="1" x14ac:dyDescent="0.3">
      <c r="A36" s="42" t="s">
        <v>12</v>
      </c>
      <c r="B36" s="57"/>
      <c r="C36" s="55"/>
      <c r="D36" s="13"/>
      <c r="E36" s="75"/>
      <c r="F36" s="75"/>
      <c r="G36" s="14"/>
      <c r="H36" s="14" t="str">
        <f t="shared" ca="1" si="6"/>
        <v/>
      </c>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row>
    <row r="37" spans="1:64" s="3" customFormat="1" ht="30" customHeight="1" thickBot="1" x14ac:dyDescent="0.3">
      <c r="A37" s="43" t="s">
        <v>39</v>
      </c>
      <c r="B37" s="27" t="s">
        <v>16</v>
      </c>
      <c r="C37" s="77"/>
      <c r="D37" s="28"/>
      <c r="E37" s="76"/>
      <c r="F37" s="76"/>
      <c r="G37" s="29"/>
      <c r="H37" s="29" t="str">
        <f t="shared" ca="1" si="6"/>
        <v/>
      </c>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row>
    <row r="38" spans="1:64" ht="30" customHeight="1" x14ac:dyDescent="0.25">
      <c r="G38" s="6"/>
    </row>
    <row r="39" spans="1:64" ht="30" customHeight="1" x14ac:dyDescent="0.25">
      <c r="C39" s="11"/>
      <c r="F39" s="44"/>
    </row>
    <row r="40" spans="1:64" ht="30" customHeight="1" x14ac:dyDescent="0.25">
      <c r="C40" s="12"/>
    </row>
  </sheetData>
  <mergeCells count="12">
    <mergeCell ref="C3:D3"/>
    <mergeCell ref="C4:D4"/>
    <mergeCell ref="B5:G5"/>
    <mergeCell ref="AK4:AQ4"/>
    <mergeCell ref="AR4:AX4"/>
    <mergeCell ref="AY4:BE4"/>
    <mergeCell ref="BF4:BL4"/>
    <mergeCell ref="E3:F3"/>
    <mergeCell ref="I4:O4"/>
    <mergeCell ref="P4:V4"/>
    <mergeCell ref="W4:AC4"/>
    <mergeCell ref="AD4:AJ4"/>
  </mergeCells>
  <conditionalFormatting sqref="D7:D9 D13 D29:D37 D16:D20 D22:D27 D11">
    <cfRule type="dataBar" priority="3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9 I13:BL13 I16:BL20 I22:BL27 I29:BL37 I11:BL11">
    <cfRule type="expression" dxfId="20" priority="58">
      <formula>AND(TODAY()&gt;=I$5,TODAY()&lt;J$5)</formula>
    </cfRule>
  </conditionalFormatting>
  <conditionalFormatting sqref="I7:BL9 I13:BL13 I16:BL20 I22:BL27 I29:BL37 I11:BL11">
    <cfRule type="expression" dxfId="19" priority="52">
      <formula>AND(início_da_tarefa&lt;=I$5,ROUNDDOWN((término_da_tarefa-início_da_tarefa+1)*progresso_da_tarefa,0)+início_da_tarefa-1&gt;=I$5)</formula>
    </cfRule>
    <cfRule type="expression" dxfId="18" priority="53" stopIfTrue="1">
      <formula>AND(término_da_tarefa&gt;=I$5,início_da_tarefa&lt;J$5)</formula>
    </cfRule>
  </conditionalFormatting>
  <conditionalFormatting sqref="D12">
    <cfRule type="dataBar" priority="22">
      <dataBar>
        <cfvo type="num" val="0"/>
        <cfvo type="num" val="1"/>
        <color theme="0" tint="-0.249977111117893"/>
      </dataBar>
      <extLst>
        <ext xmlns:x14="http://schemas.microsoft.com/office/spreadsheetml/2009/9/main" uri="{B025F937-C7B1-47D3-B67F-A62EFF666E3E}">
          <x14:id>{5266ED67-B979-400D-80F4-6952372028DA}</x14:id>
        </ext>
      </extLst>
    </cfRule>
  </conditionalFormatting>
  <conditionalFormatting sqref="I12:BL12">
    <cfRule type="expression" dxfId="17" priority="25">
      <formula>AND(TODAY()&gt;=I$5,TODAY()&lt;J$5)</formula>
    </cfRule>
  </conditionalFormatting>
  <conditionalFormatting sqref="I12:BL12">
    <cfRule type="expression" dxfId="16" priority="23">
      <formula>AND(início_da_tarefa&lt;=I$5,ROUNDDOWN((término_da_tarefa-início_da_tarefa+1)*progresso_da_tarefa,0)+início_da_tarefa-1&gt;=I$5)</formula>
    </cfRule>
    <cfRule type="expression" dxfId="15" priority="24" stopIfTrue="1">
      <formula>AND(término_da_tarefa&gt;=I$5,início_da_tarefa&lt;J$5)</formula>
    </cfRule>
  </conditionalFormatting>
  <conditionalFormatting sqref="D15">
    <cfRule type="dataBar" priority="14">
      <dataBar>
        <cfvo type="num" val="0"/>
        <cfvo type="num" val="1"/>
        <color theme="0" tint="-0.249977111117893"/>
      </dataBar>
      <extLst>
        <ext xmlns:x14="http://schemas.microsoft.com/office/spreadsheetml/2009/9/main" uri="{B025F937-C7B1-47D3-B67F-A62EFF666E3E}">
          <x14:id>{8CAF09FE-65AB-4AE6-B11E-88A4BE38D7EF}</x14:id>
        </ext>
      </extLst>
    </cfRule>
  </conditionalFormatting>
  <conditionalFormatting sqref="D14">
    <cfRule type="dataBar" priority="18">
      <dataBar>
        <cfvo type="num" val="0"/>
        <cfvo type="num" val="1"/>
        <color theme="0" tint="-0.249977111117893"/>
      </dataBar>
      <extLst>
        <ext xmlns:x14="http://schemas.microsoft.com/office/spreadsheetml/2009/9/main" uri="{B025F937-C7B1-47D3-B67F-A62EFF666E3E}">
          <x14:id>{D8B3C7C8-F672-4D8B-BD48-CA75AA47AE8D}</x14:id>
        </ext>
      </extLst>
    </cfRule>
  </conditionalFormatting>
  <conditionalFormatting sqref="I14:BL14">
    <cfRule type="expression" dxfId="14" priority="21">
      <formula>AND(TODAY()&gt;=I$5,TODAY()&lt;J$5)</formula>
    </cfRule>
  </conditionalFormatting>
  <conditionalFormatting sqref="I14:BL14">
    <cfRule type="expression" dxfId="13" priority="19">
      <formula>AND(início_da_tarefa&lt;=I$5,ROUNDDOWN((término_da_tarefa-início_da_tarefa+1)*progresso_da_tarefa,0)+início_da_tarefa-1&gt;=I$5)</formula>
    </cfRule>
    <cfRule type="expression" dxfId="12" priority="20" stopIfTrue="1">
      <formula>AND(término_da_tarefa&gt;=I$5,início_da_tarefa&lt;J$5)</formula>
    </cfRule>
  </conditionalFormatting>
  <conditionalFormatting sqref="I15:BL15">
    <cfRule type="expression" dxfId="11" priority="17">
      <formula>AND(TODAY()&gt;=I$5,TODAY()&lt;J$5)</formula>
    </cfRule>
  </conditionalFormatting>
  <conditionalFormatting sqref="I15:BL15">
    <cfRule type="expression" dxfId="10" priority="15">
      <formula>AND(início_da_tarefa&lt;=I$5,ROUNDDOWN((término_da_tarefa-início_da_tarefa+1)*progresso_da_tarefa,0)+início_da_tarefa-1&gt;=I$5)</formula>
    </cfRule>
    <cfRule type="expression" dxfId="9" priority="16" stopIfTrue="1">
      <formula>AND(término_da_tarefa&gt;=I$5,início_da_tarefa&lt;J$5)</formula>
    </cfRule>
  </conditionalFormatting>
  <conditionalFormatting sqref="D21">
    <cfRule type="dataBar" priority="5">
      <dataBar>
        <cfvo type="num" val="0"/>
        <cfvo type="num" val="1"/>
        <color theme="0" tint="-0.249977111117893"/>
      </dataBar>
      <extLst>
        <ext xmlns:x14="http://schemas.microsoft.com/office/spreadsheetml/2009/9/main" uri="{B025F937-C7B1-47D3-B67F-A62EFF666E3E}">
          <x14:id>{0DF30089-7151-4AC4-948E-198196DA2FDE}</x14:id>
        </ext>
      </extLst>
    </cfRule>
  </conditionalFormatting>
  <conditionalFormatting sqref="I21:BL21">
    <cfRule type="expression" dxfId="8" priority="13">
      <formula>AND(TODAY()&gt;=I$5,TODAY()&lt;J$5)</formula>
    </cfRule>
  </conditionalFormatting>
  <conditionalFormatting sqref="I21:BL21">
    <cfRule type="expression" dxfId="7" priority="11">
      <formula>AND(início_da_tarefa&lt;=I$5,ROUNDDOWN((término_da_tarefa-início_da_tarefa+1)*progresso_da_tarefa,0)+início_da_tarefa-1&gt;=I$5)</formula>
    </cfRule>
    <cfRule type="expression" dxfId="6" priority="12" stopIfTrue="1">
      <formula>AND(término_da_tarefa&gt;=I$5,início_da_tarefa&lt;J$5)</formula>
    </cfRule>
  </conditionalFormatting>
  <conditionalFormatting sqref="D28">
    <cfRule type="dataBar" priority="6">
      <dataBar>
        <cfvo type="num" val="0"/>
        <cfvo type="num" val="1"/>
        <color theme="0" tint="-0.249977111117893"/>
      </dataBar>
      <extLst>
        <ext xmlns:x14="http://schemas.microsoft.com/office/spreadsheetml/2009/9/main" uri="{B025F937-C7B1-47D3-B67F-A62EFF666E3E}">
          <x14:id>{57B7D8AF-27A5-426F-B03F-0818E279AF03}</x14:id>
        </ext>
      </extLst>
    </cfRule>
  </conditionalFormatting>
  <conditionalFormatting sqref="I28:BL28">
    <cfRule type="expression" dxfId="5" priority="9">
      <formula>AND(TODAY()&gt;=I$5,TODAY()&lt;J$5)</formula>
    </cfRule>
  </conditionalFormatting>
  <conditionalFormatting sqref="I28:BL28">
    <cfRule type="expression" dxfId="4" priority="7">
      <formula>AND(início_da_tarefa&lt;=I$5,ROUNDDOWN((término_da_tarefa-início_da_tarefa+1)*progresso_da_tarefa,0)+início_da_tarefa-1&gt;=I$5)</formula>
    </cfRule>
    <cfRule type="expression" dxfId="3" priority="8" stopIfTrue="1">
      <formula>AND(término_da_tarefa&gt;=I$5,início_da_tarefa&lt;J$5)</formula>
    </cfRule>
  </conditionalFormatting>
  <conditionalFormatting sqref="D10">
    <cfRule type="dataBar" priority="1">
      <dataBar>
        <cfvo type="num" val="0"/>
        <cfvo type="num" val="1"/>
        <color theme="0" tint="-0.249977111117893"/>
      </dataBar>
      <extLst>
        <ext xmlns:x14="http://schemas.microsoft.com/office/spreadsheetml/2009/9/main" uri="{B025F937-C7B1-47D3-B67F-A62EFF666E3E}">
          <x14:id>{6F2D2B75-6882-4DC9-AFF6-F819B202C3C2}</x14:id>
        </ext>
      </extLst>
    </cfRule>
  </conditionalFormatting>
  <conditionalFormatting sqref="I10:BL10">
    <cfRule type="expression" dxfId="2" priority="4">
      <formula>AND(TODAY()&gt;=I$5,TODAY()&lt;J$5)</formula>
    </cfRule>
  </conditionalFormatting>
  <conditionalFormatting sqref="I10:BL10">
    <cfRule type="expression" dxfId="1" priority="2">
      <formula>AND(início_da_tarefa&lt;=I$5,ROUNDDOWN((término_da_tarefa-início_da_tarefa+1)*progresso_da_tarefa,0)+início_da_tarefa-1&gt;=I$5)</formula>
    </cfRule>
    <cfRule type="expression" dxfId="0" priority="3" stopIfTrue="1">
      <formula>AND(término_da_tarefa&gt;=I$5,início_da_tarefa&lt;J$5)</formula>
    </cfRule>
  </conditionalFormatting>
  <dataValidations disablePrompts="1" count="1">
    <dataValidation type="whole" operator="greaterThanOrEqual" allowBlank="1" showInputMessage="1" promptTitle="Semana de exibição" prompt="Alterar esse número rola a exibição do Gráfico de Gantt." sqref="E4">
      <formula1>1</formula1>
    </dataValidation>
  </dataValidations>
  <hyperlinks>
    <hyperlink ref="I2" r:id="rId1"/>
    <hyperlink ref="I1" r:id="rId2"/>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D7:D9 D13 D29:D37 D16:D20 D22:D27 D11</xm:sqref>
        </x14:conditionalFormatting>
        <x14:conditionalFormatting xmlns:xm="http://schemas.microsoft.com/office/excel/2006/main">
          <x14:cfRule type="dataBar" id="{5266ED67-B979-400D-80F4-6952372028DA}">
            <x14:dataBar minLength="0" maxLength="100" gradient="0">
              <x14:cfvo type="num">
                <xm:f>0</xm:f>
              </x14:cfvo>
              <x14:cfvo type="num">
                <xm:f>1</xm:f>
              </x14:cfvo>
              <x14:negativeFillColor rgb="FFFF0000"/>
              <x14:axisColor rgb="FF000000"/>
            </x14:dataBar>
          </x14:cfRule>
          <xm:sqref>D12</xm:sqref>
        </x14:conditionalFormatting>
        <x14:conditionalFormatting xmlns:xm="http://schemas.microsoft.com/office/excel/2006/main">
          <x14:cfRule type="dataBar" id="{8CAF09FE-65AB-4AE6-B11E-88A4BE38D7EF}">
            <x14:dataBar minLength="0" maxLength="100" gradient="0">
              <x14:cfvo type="num">
                <xm:f>0</xm:f>
              </x14:cfvo>
              <x14:cfvo type="num">
                <xm:f>1</xm:f>
              </x14:cfvo>
              <x14:negativeFillColor rgb="FFFF0000"/>
              <x14:axisColor rgb="FF000000"/>
            </x14:dataBar>
          </x14:cfRule>
          <xm:sqref>D15</xm:sqref>
        </x14:conditionalFormatting>
        <x14:conditionalFormatting xmlns:xm="http://schemas.microsoft.com/office/excel/2006/main">
          <x14:cfRule type="dataBar" id="{D8B3C7C8-F672-4D8B-BD48-CA75AA47AE8D}">
            <x14:dataBar minLength="0" maxLength="100" gradient="0">
              <x14:cfvo type="num">
                <xm:f>0</xm:f>
              </x14:cfvo>
              <x14:cfvo type="num">
                <xm:f>1</xm:f>
              </x14:cfvo>
              <x14:negativeFillColor rgb="FFFF0000"/>
              <x14:axisColor rgb="FF000000"/>
            </x14:dataBar>
          </x14:cfRule>
          <xm:sqref>D14</xm:sqref>
        </x14:conditionalFormatting>
        <x14:conditionalFormatting xmlns:xm="http://schemas.microsoft.com/office/excel/2006/main">
          <x14:cfRule type="dataBar" id="{0DF30089-7151-4AC4-948E-198196DA2FDE}">
            <x14:dataBar minLength="0" maxLength="100" gradient="0">
              <x14:cfvo type="num">
                <xm:f>0</xm:f>
              </x14:cfvo>
              <x14:cfvo type="num">
                <xm:f>1</xm:f>
              </x14:cfvo>
              <x14:negativeFillColor rgb="FFFF0000"/>
              <x14:axisColor rgb="FF000000"/>
            </x14:dataBar>
          </x14:cfRule>
          <xm:sqref>D21</xm:sqref>
        </x14:conditionalFormatting>
        <x14:conditionalFormatting xmlns:xm="http://schemas.microsoft.com/office/excel/2006/main">
          <x14:cfRule type="dataBar" id="{57B7D8AF-27A5-426F-B03F-0818E279AF03}">
            <x14:dataBar minLength="0" maxLength="100" gradient="0">
              <x14:cfvo type="num">
                <xm:f>0</xm:f>
              </x14:cfvo>
              <x14:cfvo type="num">
                <xm:f>1</xm:f>
              </x14:cfvo>
              <x14:negativeFillColor rgb="FFFF0000"/>
              <x14:axisColor rgb="FF000000"/>
            </x14:dataBar>
          </x14:cfRule>
          <xm:sqref>D28</xm:sqref>
        </x14:conditionalFormatting>
        <x14:conditionalFormatting xmlns:xm="http://schemas.microsoft.com/office/excel/2006/main">
          <x14:cfRule type="dataBar" id="{6F2D2B75-6882-4DC9-AFF6-F819B202C3C2}">
            <x14:dataBar minLength="0" maxLength="100" gradient="0">
              <x14:cfvo type="num">
                <xm:f>0</xm:f>
              </x14:cfvo>
              <x14:cfvo type="num">
                <xm:f>1</xm:f>
              </x14:cfvo>
              <x14:negativeFillColor rgb="FFFF0000"/>
              <x14:axisColor rgb="FF000000"/>
            </x14:dataBar>
          </x14:cfRule>
          <xm:sqref>D10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showGridLines="0" topLeftCell="A13" zoomScaleNormal="100" workbookViewId="0"/>
  </sheetViews>
  <sheetFormatPr defaultColWidth="9.140625" defaultRowHeight="12.75" x14ac:dyDescent="0.2"/>
  <cols>
    <col min="1" max="1" width="87.140625" style="34" customWidth="1"/>
    <col min="2" max="16384" width="9.140625" style="2"/>
  </cols>
  <sheetData>
    <row r="1" spans="1:2" ht="46.5" customHeight="1" x14ac:dyDescent="0.2"/>
    <row r="2" spans="1:2" s="36" customFormat="1" ht="15.75" x14ac:dyDescent="0.25">
      <c r="A2" s="35" t="s">
        <v>24</v>
      </c>
      <c r="B2" s="35"/>
    </row>
    <row r="3" spans="1:2" s="40" customFormat="1" ht="27" customHeight="1" x14ac:dyDescent="0.25">
      <c r="A3" s="41" t="s">
        <v>25</v>
      </c>
      <c r="B3" s="41"/>
    </row>
    <row r="4" spans="1:2" s="37" customFormat="1" ht="26.25" x14ac:dyDescent="0.4">
      <c r="A4" s="38" t="s">
        <v>26</v>
      </c>
    </row>
    <row r="5" spans="1:2" ht="74.099999999999994" customHeight="1" x14ac:dyDescent="0.2">
      <c r="A5" s="39" t="s">
        <v>27</v>
      </c>
    </row>
    <row r="6" spans="1:2" ht="26.25" customHeight="1" x14ac:dyDescent="0.2">
      <c r="A6" s="38" t="s">
        <v>28</v>
      </c>
    </row>
    <row r="7" spans="1:2" s="34" customFormat="1" ht="222.75" customHeight="1" x14ac:dyDescent="0.25">
      <c r="A7" s="58" t="s">
        <v>29</v>
      </c>
    </row>
    <row r="8" spans="1:2" s="37" customFormat="1" ht="26.25" x14ac:dyDescent="0.4">
      <c r="A8" s="38" t="s">
        <v>30</v>
      </c>
    </row>
    <row r="9" spans="1:2" ht="60" x14ac:dyDescent="0.2">
      <c r="A9" s="39" t="s">
        <v>31</v>
      </c>
    </row>
    <row r="10" spans="1:2" s="34" customFormat="1" ht="27.95" customHeight="1" x14ac:dyDescent="0.25">
      <c r="A10" s="59" t="s">
        <v>32</v>
      </c>
    </row>
    <row r="11" spans="1:2" s="37" customFormat="1" ht="26.25" x14ac:dyDescent="0.4">
      <c r="A11" s="38" t="s">
        <v>33</v>
      </c>
    </row>
    <row r="12" spans="1:2" ht="30" x14ac:dyDescent="0.2">
      <c r="A12" s="39" t="s">
        <v>34</v>
      </c>
    </row>
    <row r="13" spans="1:2" s="34" customFormat="1" ht="27.95" customHeight="1" x14ac:dyDescent="0.25">
      <c r="A13" s="59" t="s">
        <v>35</v>
      </c>
    </row>
    <row r="14" spans="1:2" s="37" customFormat="1" ht="26.25" x14ac:dyDescent="0.4">
      <c r="A14" s="38" t="s">
        <v>36</v>
      </c>
    </row>
    <row r="15" spans="1:2" ht="75" customHeight="1" x14ac:dyDescent="0.2">
      <c r="A15" s="39" t="s">
        <v>37</v>
      </c>
    </row>
    <row r="16" spans="1:2" ht="90" x14ac:dyDescent="0.2">
      <c r="A16" s="39" t="s">
        <v>38</v>
      </c>
    </row>
  </sheetData>
  <hyperlinks>
    <hyperlink ref="A13" r:id="rId1"/>
    <hyperlink ref="A10" r:id="rId2"/>
    <hyperlink ref="A3" r:id="rId3"/>
    <hyperlink ref="A2" r:id="rId4"/>
  </hyperlinks>
  <printOptions horizontalCentered="1"/>
  <pageMargins left="0.35" right="0.35" top="0.35" bottom="0.5" header="0.3" footer="0.3"/>
  <pageSetup paperSize="9" fitToHeight="0" orientation="landscape" r:id="rId5"/>
  <headerFooter differentFirst="1" scaleWithDoc="0">
    <oddFooter>Page &amp;P of &amp;N</oddFooter>
  </headerFooter>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A829C327A97E545BBB5AD54AEF86B3D" ma:contentTypeVersion="0" ma:contentTypeDescription="Crie um novo documento." ma:contentTypeScope="" ma:versionID="753dcc3d547b442e29e6a9a6e6561e92">
  <xsd:schema xmlns:xsd="http://www.w3.org/2001/XMLSchema" xmlns:xs="http://www.w3.org/2001/XMLSchema" xmlns:p="http://schemas.microsoft.com/office/2006/metadata/properties" targetNamespace="http://schemas.microsoft.com/office/2006/metadata/properties" ma:root="true" ma:fieldsID="8d2d35cd79d80d3b38601b74d693a05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453B07-AF68-419F-8B66-450483D498FB}">
  <ds:schemaRefs>
    <ds:schemaRef ds:uri="http://schemas.microsoft.com/sharepoint/v3/contenttype/forms"/>
  </ds:schemaRefs>
</ds:datastoreItem>
</file>

<file path=customXml/itemProps2.xml><?xml version="1.0" encoding="utf-8"?>
<ds:datastoreItem xmlns:ds="http://schemas.openxmlformats.org/officeDocument/2006/customXml" ds:itemID="{A5EB7187-E44A-4311-A60C-0FAD0B58DD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FF8754EB-1CEC-410C-81EE-966142A7CDC6}">
  <ds:schemaRefs>
    <ds:schemaRef ds:uri="http://schemas.openxmlformats.org/package/2006/metadata/core-properties"/>
    <ds:schemaRef ds:uri="http://purl.org/dc/elements/1.1/"/>
    <ds:schemaRef ds:uri="http://schemas.microsoft.com/office/infopath/2007/PartnerControls"/>
    <ds:schemaRef ds:uri="http://purl.org/dc/dcmitype/"/>
    <ds:schemaRef ds:uri="http://schemas.microsoft.com/office/2006/documentManagement/types"/>
    <ds:schemaRef ds:uri="http://schemas.microsoft.com/office/2006/metadata/properties"/>
    <ds:schemaRef ds:uri="http://purl.org/dc/term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2</vt:i4>
      </vt:variant>
      <vt:variant>
        <vt:lpstr>Gráficos</vt:lpstr>
      </vt:variant>
      <vt:variant>
        <vt:i4>1</vt:i4>
      </vt:variant>
      <vt:variant>
        <vt:lpstr>Intervalos nomeados</vt:lpstr>
      </vt:variant>
      <vt:variant>
        <vt:i4>6</vt:i4>
      </vt:variant>
    </vt:vector>
  </HeadingPairs>
  <TitlesOfParts>
    <vt:vector size="9" baseType="lpstr">
      <vt:lpstr>CronogramaDeProjeto</vt:lpstr>
      <vt:lpstr>Sobre</vt:lpstr>
      <vt:lpstr>Gráf1</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2023-03-03T15:47:51Z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0x0101009A829C327A97E545BBB5AD54AEF86B3D</vt:lpwstr>
  </property>
</Properties>
</file>